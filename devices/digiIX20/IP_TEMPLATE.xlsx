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324754\programming_workstation\devices\digiIX20\"/>
    </mc:Choice>
  </mc:AlternateContent>
  <xr:revisionPtr revIDLastSave="0" documentId="13_ncr:1_{756F1CF6-6181-4124-827E-53D86D124CB2}" xr6:coauthVersionLast="47" xr6:coauthVersionMax="47" xr10:uidLastSave="{00000000-0000-0000-0000-000000000000}"/>
  <bookViews>
    <workbookView xWindow="-7680" yWindow="-14850" windowWidth="17280" windowHeight="9960" activeTab="1" xr2:uid="{00000000-000D-0000-FFFF-FFFF00000000}"/>
  </bookViews>
  <sheets>
    <sheet name="Sheet1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<sst xmlns="http://schemas.openxmlformats.org/spreadsheetml/2006/main" count="87" uniqueCount="40">
  <si>
    <t>PBB Gate</t>
  </si>
  <si>
    <t>Gate IP</t>
  </si>
  <si>
    <t>Netmask</t>
  </si>
  <si>
    <t>Gateway</t>
  </si>
  <si>
    <t>PBB SN</t>
  </si>
  <si>
    <t>Jetway PN</t>
  </si>
  <si>
    <t>MAC Address</t>
  </si>
  <si>
    <t>Router Programmed On</t>
  </si>
  <si>
    <t>Label</t>
  </si>
  <si>
    <t>Crash Report</t>
  </si>
  <si>
    <t>PRG #</t>
  </si>
  <si>
    <t>Router Tested On</t>
  </si>
  <si>
    <t>Test #</t>
  </si>
  <si>
    <t>Notes</t>
  </si>
  <si>
    <t>10.28.18.2</t>
  </si>
  <si>
    <t>255.255.255.0</t>
  </si>
  <si>
    <t>0.0.0.0</t>
  </si>
  <si>
    <t>20:97:27:17:9E:4B</t>
  </si>
  <si>
    <t>label_JKC-SLC_10000_2026-04-22_15-06-46.txt</t>
  </si>
  <si>
    <t/>
  </si>
  <si>
    <t>Not Tested</t>
  </si>
  <si>
    <t>file:///C:\Users\u317029\Documents\teltonika\crash_logs\test_crash_log_JKC-SLC_10000_2026-04-22_15-54-30.txt</t>
  </si>
  <si>
    <t>10.120.30.4</t>
  </si>
  <si>
    <t>label_JKC-SLC_10001_2026-04-28_13-49-44.txt</t>
  </si>
  <si>
    <t>10.24.100.2</t>
  </si>
  <si>
    <t>label_IP_TEMPLATE_10002_2026-06-03_10-01-52.txt</t>
  </si>
  <si>
    <t>10.10.100.56</t>
  </si>
  <si>
    <t>label_IP_TEMPLATE_10003_2026-06-03_10-26-15.txt</t>
  </si>
  <si>
    <t>crash_log_IP_TEMPLATE_10003_2026-06-03_10-26-15.txt</t>
  </si>
  <si>
    <t>10.0.0.25</t>
  </si>
  <si>
    <t>10.0.0.1</t>
  </si>
  <si>
    <t>G11</t>
  </si>
  <si>
    <t>172.18.43.202</t>
  </si>
  <si>
    <t>255.255.255.128</t>
  </si>
  <si>
    <t>172.18.43.129</t>
  </si>
  <si>
    <t>OG29628</t>
  </si>
  <si>
    <t>None</t>
  </si>
  <si>
    <t>G12</t>
  </si>
  <si>
    <t>172.18.43.205</t>
  </si>
  <si>
    <t>OG29629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</si>
</sst>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FF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16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admin/varprog_stat/devices/TR/crash_logs/test_crash_log_IP_TEMPLATE_10002_2026-06-23_11-16-56.txt" TargetMode="External"/><Relationship Id="rId3" Type="http://schemas.openxmlformats.org/officeDocument/2006/relationships/hyperlink" Target="../../../../u317029/Documents/teltonika/crash_logs/test_crash_log_JKC-SLC_10000_2026-04-22_15-54-30.txt" TargetMode="External"/><Relationship Id="rId7" Type="http://schemas.openxmlformats.org/officeDocument/2006/relationships/hyperlink" Target="../../../../admin/Documents/teltonika/crash_logs/crash_log_IP_TEMPLATE_10002_2026-06-17_15-54-02.txt" TargetMode="External"/><Relationship Id="rId2" Type="http://schemas.openxmlformats.org/officeDocument/2006/relationships/hyperlink" Target="../../../../u317029/Documents/teltonika/crash_logs/crash_log_JKC-SLC_10000_2026-04-22_15-36-53.txt" TargetMode="External"/><Relationship Id="rId1" Type="http://schemas.openxmlformats.org/officeDocument/2006/relationships/hyperlink" Target="../../../../u317029/Documents/teltonika/router_labels/label_JKC-SLC_10000_2026-04-22_15-06-46.txt" TargetMode="External"/><Relationship Id="rId6" Type="http://schemas.openxmlformats.org/officeDocument/2006/relationships/hyperlink" Target="../../../../admin/Documents/teltonika/router_labels/label_IP_TEMPLATE_10002_2026-06-03_10-01-52.txt" TargetMode="External"/><Relationship Id="rId5" Type="http://schemas.openxmlformats.org/officeDocument/2006/relationships/hyperlink" Target="../../../../admin/Documents/teltonika/crash_logs/crash_log_IP_TEMPLATE_10001_2026-06-03_10-35-18.txt" TargetMode="External"/><Relationship Id="rId10" Type="http://schemas.openxmlformats.org/officeDocument/2006/relationships/hyperlink" Target="../../../../admin/Documents/teltonika/crash_logs/crash_log_IP_TEMPLATE_10003_2026-06-03_10-26-15.txt" TargetMode="External"/><Relationship Id="rId4" Type="http://schemas.openxmlformats.org/officeDocument/2006/relationships/hyperlink" Target="../../../../u317029/Documents/teltonika/router_labels/label_JKC-SLC_10001_2026-04-28_13-49-44.txt" TargetMode="External"/><Relationship Id="rId9" Type="http://schemas.openxmlformats.org/officeDocument/2006/relationships/hyperlink" Target="../../../../admin/Documents/teltonika/router_labels/label_IP_TEMPLATE_10003_2026-06-03_10-26-15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F2" sqref="F2"/>
    </sheetView>
  </sheetViews>
  <sheetFormatPr defaultRowHeight="14.4" x14ac:dyDescent="0.3"/>
  <cols>
    <col min="1" max="1" width="11.33203125" customWidth="1"/>
    <col min="2" max="2" width="13.44140625" customWidth="1"/>
    <col min="3" max="3" width="14" customWidth="1"/>
    <col min="4" max="4" width="13" customWidth="1"/>
    <col min="5" max="5" width="9" customWidth="1"/>
    <col min="6" max="6" width="11.44140625" customWidth="1"/>
    <col min="7" max="7" width="19.88671875" customWidth="1"/>
    <col min="8" max="8" width="24" customWidth="1"/>
    <col min="9" max="9" width="16.88671875" customWidth="1"/>
    <col min="10" max="10" width="12.77734375" customWidth="1"/>
    <col min="11" max="11" width="12.6640625" customWidth="1"/>
    <col min="12" max="12" width="18.88671875" customWidth="1"/>
    <col min="13" max="13" width="35.77734375" customWidth="1"/>
    <col min="14" max="14" width="15.33203125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9</v>
      </c>
      <c r="N1" s="6" t="s">
        <v>12</v>
      </c>
      <c r="O1" s="6" t="s">
        <v>13</v>
      </c>
    </row>
    <row r="2" spans="1:15" x14ac:dyDescent="0.3">
      <c r="A2" s="1">
        <v>2</v>
      </c>
      <c r="B2" s="1" t="s">
        <v>29</v>
      </c>
      <c r="C2" s="1" t="s">
        <v>15</v>
      </c>
      <c r="D2" s="1" t="s">
        <v>30</v>
      </c>
      <c r="E2" s="2">
        <v>12365</v>
      </c>
      <c r="F2" s="1">
        <v>3754160</v>
      </c>
      <c r="G2" s="12"/>
      <c r="H2" s="13"/>
      <c r="I2" s="10"/>
      <c r="J2" s="10"/>
      <c r="K2" s="11"/>
      <c r="L2" s="13"/>
      <c r="M2" s="14"/>
      <c r="N2" s="15"/>
    </row>
    <row r="3" spans="1:15" x14ac:dyDescent="0.3">
      <c r="A3" s="1"/>
      <c r="B3" s="1"/>
      <c r="C3" s="1"/>
      <c r="D3" s="1"/>
      <c r="E3" s="2"/>
      <c r="F3" s="1"/>
      <c r="G3" s="12"/>
      <c r="H3" s="13"/>
      <c r="I3" s="10"/>
      <c r="J3" s="10"/>
      <c r="K3" s="11"/>
      <c r="L3" s="16"/>
    </row>
    <row r="4" spans="1:15" x14ac:dyDescent="0.3">
      <c r="A4" s="1"/>
      <c r="B4" s="1"/>
      <c r="C4" s="1"/>
      <c r="D4" s="1"/>
      <c r="E4" s="2"/>
      <c r="F4" s="1"/>
      <c r="G4" s="7"/>
      <c r="H4" s="8"/>
      <c r="I4" s="9"/>
      <c r="J4" s="3"/>
      <c r="K4" s="1"/>
      <c r="L4" s="1"/>
      <c r="M4" s="1"/>
    </row>
    <row r="5" spans="1:15" x14ac:dyDescent="0.3">
      <c r="A5" s="1"/>
      <c r="B5" s="1"/>
      <c r="C5" s="1"/>
      <c r="D5" s="1"/>
      <c r="E5" s="2"/>
      <c r="F5" s="1"/>
      <c r="G5" s="2"/>
      <c r="H5" s="4"/>
      <c r="I5" s="5"/>
      <c r="J5" s="5"/>
      <c r="K5" s="1"/>
      <c r="L5" s="1"/>
      <c r="M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conditionalFormatting sqref="B1:B1048576">
    <cfRule type="duplicateValues" dxfId="3" priority="1"/>
  </conditionalFormatting>
  <dataValidations count="1">
    <dataValidation type="custom" allowBlank="1" showInputMessage="1" showErrorMessage="1" sqref="B1:B1048576" xr:uid="{00000000-0002-0000-0000-000000000000}">
      <formula1>COUNTIF(B:B, B1)=1</formula1>
    </dataValidation>
  </dataValidations>
  <pageMargins left="0.7" right="0.7" top="0.75" bottom="0.75" header="0.3" footer="0.3"/>
  <pageSetup orientation="portrait"/>
  <headerFooter>
    <oddHeader>&amp;C&amp;"Calibri"&amp;1 &amp;K000000 Oshkosh Corporation Classification - Restricted#_x000D_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abSelected="1" workbookViewId="0">
      <selection activeCell="A8" sqref="A8"/>
    </sheetView>
  </sheetViews>
  <sheetFormatPr defaultRowHeight="14.4" x14ac:dyDescent="0.3"/>
  <cols>
    <col min="1" max="1" width="11.33203125" customWidth="1"/>
    <col min="2" max="2" width="13.44140625" customWidth="1"/>
    <col min="3" max="3" width="14" customWidth="1"/>
    <col min="4" max="4" width="13" customWidth="1"/>
    <col min="5" max="5" width="9" customWidth="1"/>
    <col min="6" max="6" width="11.44140625" customWidth="1"/>
    <col min="7" max="7" width="19.88671875" customWidth="1"/>
    <col min="8" max="8" width="24" customWidth="1"/>
    <col min="9" max="9" width="16.88671875" customWidth="1"/>
    <col min="10" max="10" width="12.77734375" customWidth="1"/>
    <col min="11" max="11" width="12.6640625" customWidth="1"/>
    <col min="12" max="12" width="18.88671875" customWidth="1"/>
    <col min="13" max="13" width="35.77734375" customWidth="1"/>
    <col min="14" max="14" width="15.33203125" customWidth="1"/>
  </cols>
  <sheetData>
    <row r="1" spans="1:1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9</v>
      </c>
      <c r="N1" s="6" t="s">
        <v>12</v>
      </c>
      <c r="O1" s="6" t="s">
        <v>13</v>
      </c>
    </row>
    <row r="2" spans="1:15" x14ac:dyDescent="0.3">
      <c r="A2" s="1">
        <v>21</v>
      </c>
      <c r="B2" s="1" t="s">
        <v>14</v>
      </c>
      <c r="C2" s="1" t="s">
        <v>15</v>
      </c>
      <c r="D2" s="1" t="s">
        <v>16</v>
      </c>
      <c r="E2" s="2">
        <v>10000</v>
      </c>
      <c r="F2" s="1">
        <v>3754160</v>
      </c>
      <c r="G2" s="12" t="s">
        <v>17</v>
      </c>
      <c r="H2" s="17">
        <v>46176.306280555553</v>
      </c>
      <c r="I2" s="10" t="s">
        <v>18</v>
      </c>
      <c r="J2" s="10" t="s">
        <v>19</v>
      </c>
      <c r="K2" s="11" t="s">
        <v>20</v>
      </c>
      <c r="L2" s="13">
        <v>46134.666751111108</v>
      </c>
      <c r="M2" s="14" t="s">
        <v>21</v>
      </c>
      <c r="N2" s="15">
        <v>3</v>
      </c>
    </row>
    <row r="3" spans="1:15" x14ac:dyDescent="0.3">
      <c r="A3" s="1">
        <v>22</v>
      </c>
      <c r="B3" s="1" t="s">
        <v>22</v>
      </c>
      <c r="C3" s="1" t="s">
        <v>15</v>
      </c>
      <c r="D3" s="1" t="s">
        <v>16</v>
      </c>
      <c r="E3" s="2">
        <v>10001</v>
      </c>
      <c r="F3" s="1">
        <v>3754160</v>
      </c>
      <c r="G3" s="20" t="s">
        <v>17</v>
      </c>
      <c r="H3" s="17">
        <v>46196.456849467591</v>
      </c>
      <c r="I3" s="10" t="s">
        <v>23</v>
      </c>
      <c r="J3" s="18" t="s">
        <v>19</v>
      </c>
      <c r="K3" s="11" t="s">
        <v>20</v>
      </c>
      <c r="L3" s="21">
        <v>46196.456846712957</v>
      </c>
      <c r="M3" t="s">
        <v>19</v>
      </c>
      <c r="N3" s="22">
        <v>9</v>
      </c>
    </row>
    <row r="4" spans="1:15" x14ac:dyDescent="0.3">
      <c r="A4" s="1">
        <v>24</v>
      </c>
      <c r="B4" s="1" t="s">
        <v>24</v>
      </c>
      <c r="C4" s="1" t="s">
        <v>15</v>
      </c>
      <c r="D4" s="1" t="s">
        <v>16</v>
      </c>
      <c r="E4" s="2">
        <v>10002</v>
      </c>
      <c r="F4" s="1">
        <v>3754160</v>
      </c>
      <c r="G4" s="20" t="s">
        <v>17</v>
      </c>
      <c r="H4" s="17">
        <v>46196.526796689817</v>
      </c>
      <c r="I4" s="18" t="s">
        <v>25</v>
      </c>
      <c r="J4" s="18" t="s">
        <v>19</v>
      </c>
      <c r="K4" s="23" t="s">
        <v>20</v>
      </c>
      <c r="L4" s="17">
        <v>46196.526794212958</v>
      </c>
      <c r="M4" s="18" t="s">
        <v>19</v>
      </c>
      <c r="N4" s="22">
        <v>8</v>
      </c>
    </row>
    <row r="5" spans="1:15" x14ac:dyDescent="0.3">
      <c r="A5" s="1">
        <v>210</v>
      </c>
      <c r="B5" s="1" t="s">
        <v>26</v>
      </c>
      <c r="C5" s="1" t="s">
        <v>15</v>
      </c>
      <c r="D5" s="1" t="s">
        <v>16</v>
      </c>
      <c r="E5" s="2">
        <v>10003</v>
      </c>
      <c r="F5" s="1">
        <v>3754160</v>
      </c>
      <c r="G5" s="2"/>
      <c r="H5" s="19">
        <v>46176.434902939807</v>
      </c>
      <c r="I5" s="18" t="s">
        <v>27</v>
      </c>
      <c r="J5" s="18" t="s">
        <v>28</v>
      </c>
      <c r="K5" s="23" t="s">
        <v>20</v>
      </c>
      <c r="L5" s="1"/>
      <c r="M5" s="1"/>
    </row>
    <row r="6" spans="1:15" x14ac:dyDescent="0.3">
      <c r="A6" s="1" t="s">
        <v>31</v>
      </c>
      <c r="B6" s="24" t="s">
        <v>32</v>
      </c>
      <c r="C6" s="24" t="s">
        <v>33</v>
      </c>
      <c r="D6" s="24" t="s">
        <v>34</v>
      </c>
      <c r="E6" s="25" t="s">
        <v>35</v>
      </c>
      <c r="F6" s="1" t="s">
        <v>36</v>
      </c>
      <c r="G6" s="1" t="s">
        <v>36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/>
      <c r="N6" s="1"/>
    </row>
    <row r="7" spans="1:15" x14ac:dyDescent="0.3">
      <c r="A7" s="1" t="s">
        <v>37</v>
      </c>
      <c r="B7" s="1" t="s">
        <v>38</v>
      </c>
      <c r="C7" s="1" t="s">
        <v>33</v>
      </c>
      <c r="D7" s="1" t="s">
        <v>34</v>
      </c>
      <c r="E7" s="1" t="s">
        <v>39</v>
      </c>
      <c r="F7" s="1" t="s">
        <v>36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/>
      <c r="N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conditionalFormatting sqref="B1:B5 B8:B1048576">
    <cfRule type="duplicateValues" dxfId="2" priority="2"/>
  </conditionalFormatting>
  <conditionalFormatting sqref="A7">
    <cfRule type="duplicateValues" dxfId="0" priority="1"/>
  </conditionalFormatting>
  <dataValidations count="1">
    <dataValidation type="custom" allowBlank="1" showInputMessage="1" showErrorMessage="1" sqref="B1:B5 B8:B1048576 A7" xr:uid="{00000000-0002-0000-0100-000000000000}">
      <formula1>COUNTIF(A:A, A1)=1</formula1>
    </dataValidation>
  </dataValidations>
  <hyperlinks>
    <hyperlink ref="I2" r:id="rId1" xr:uid="{00000000-0004-0000-0100-000000000000}"/>
    <hyperlink ref="J2" r:id="rId2" xr:uid="{00000000-0004-0000-0100-000001000000}"/>
    <hyperlink ref="M2" r:id="rId3" xr:uid="{00000000-0004-0000-0100-000002000000}"/>
    <hyperlink ref="I3" r:id="rId4" xr:uid="{00000000-0004-0000-0100-000003000000}"/>
    <hyperlink ref="J3" r:id="rId5" xr:uid="{00000000-0004-0000-0100-000004000000}"/>
    <hyperlink ref="I4" r:id="rId6" xr:uid="{00000000-0004-0000-0100-000005000000}"/>
    <hyperlink ref="J4" r:id="rId7" xr:uid="{00000000-0004-0000-0100-000006000000}"/>
    <hyperlink ref="M4" r:id="rId8" xr:uid="{00000000-0004-0000-0100-000007000000}"/>
    <hyperlink ref="I5" r:id="rId9" xr:uid="{00000000-0004-0000-0100-000008000000}"/>
    <hyperlink ref="J5" r:id="rId10" xr:uid="{00000000-0004-0000-01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Kodithyala</dc:creator>
  <cp:lastModifiedBy>Nate Lehnhof</cp:lastModifiedBy>
  <dcterms:created xsi:type="dcterms:W3CDTF">2015-06-05T18:17:20Z</dcterms:created>
  <dcterms:modified xsi:type="dcterms:W3CDTF">2026-07-30T21:59:51Z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62120-e871-4f1d-84ea-7289b5fdd404_Enabled">
    <vt:lpwstr>true</vt:lpwstr>
  </property>
  <property fmtid="{D5CDD505-2E9C-101B-9397-08002B2CF9AE}" pid="3" name="MSIP_Label_ff462120-e871-4f1d-84ea-7289b5fdd404_SetDate">
    <vt:lpwstr>2025-07-14T15:56:20Z</vt:lpwstr>
  </property>
  <property fmtid="{D5CDD505-2E9C-101B-9397-08002B2CF9AE}" pid="4" name="MSIP_Label_ff462120-e871-4f1d-84ea-7289b5fdd404_Method">
    <vt:lpwstr>Standard</vt:lpwstr>
  </property>
  <property fmtid="{D5CDD505-2E9C-101B-9397-08002B2CF9AE}" pid="5" name="MSIP_Label_ff462120-e871-4f1d-84ea-7289b5fdd404_Name">
    <vt:lpwstr>Restricted - Visual Marking - YES</vt:lpwstr>
  </property>
  <property fmtid="{D5CDD505-2E9C-101B-9397-08002B2CF9AE}" pid="6" name="MSIP_Label_ff462120-e871-4f1d-84ea-7289b5fdd404_SiteId">
    <vt:lpwstr>a84d585b-574d-4eb7-be2a-eaea93ef7b1f</vt:lpwstr>
  </property>
  <property fmtid="{D5CDD505-2E9C-101B-9397-08002B2CF9AE}" pid="7" name="MSIP_Label_ff462120-e871-4f1d-84ea-7289b5fdd404_ActionId">
    <vt:lpwstr>47ad8f4a-681a-4213-82cd-4a945a10f8ae</vt:lpwstr>
  </property>
  <property fmtid="{D5CDD505-2E9C-101B-9397-08002B2CF9AE}" pid="8" name="MSIP_Label_ff462120-e871-4f1d-84ea-7289b5fdd404_ContentBits">
    <vt:lpwstr>1</vt:lpwstr>
  </property>
  <property fmtid="{D5CDD505-2E9C-101B-9397-08002B2CF9AE}" pid="9" name="MSIP_Label_ff462120-e871-4f1d-84ea-7289b5fdd404_Tag">
    <vt:lpwstr>10, 3, 0, 1</vt:lpwstr>
  </property>
</Properties>
</file>